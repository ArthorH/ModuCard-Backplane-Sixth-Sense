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<sst xmlns="http://schemas.openxmlformats.org/spreadsheetml/2006/main" count="131" uniqueCount="73">
  <si>
    <r>
      <rPr>
        <sz val="11"/>
        <color theme="1"/>
        <rFont val="Aptos Narrow"/>
        <family val="2"/>
        <charset val="1"/>
      </rPr>
      <t xml:space="preserve">ModuCard Pinout </t>
    </r>
    <r>
      <rPr>
        <sz val="11"/>
        <color theme="1"/>
        <rFont val="Aptos Narrow"/>
        <family val="2"/>
      </rPr>
      <t xml:space="preserve">Creator</t>
    </r>
  </si>
  <si>
    <t xml:space="preserve">ROW A</t>
  </si>
  <si>
    <t xml:space="preserve">GND</t>
  </si>
  <si>
    <t xml:space="preserve">USB D+</t>
  </si>
  <si>
    <t xml:space="preserve">CAN 1 H</t>
  </si>
  <si>
    <t xml:space="preserve">CAN 1 L</t>
  </si>
  <si>
    <t xml:space="preserve">CAN 2 H</t>
  </si>
  <si>
    <t xml:space="preserve">CAN 2 L</t>
  </si>
  <si>
    <t xml:space="preserve">GPIO R 1</t>
  </si>
  <si>
    <t xml:space="preserve">GPIO R 2</t>
  </si>
  <si>
    <t xml:space="preserve">GPIO R 3</t>
  </si>
  <si>
    <t xml:space="preserve">GPIO R 4</t>
  </si>
  <si>
    <t xml:space="preserve">GPIO R 5</t>
  </si>
  <si>
    <t xml:space="preserve">GPIO R 6</t>
  </si>
  <si>
    <t xml:space="preserve">GPIO R 7</t>
  </si>
  <si>
    <t xml:space="preserve">GPIO R 8</t>
  </si>
  <si>
    <t xml:space="preserve">GPIO R 9</t>
  </si>
  <si>
    <t xml:space="preserve">GPIO R 10</t>
  </si>
  <si>
    <t xml:space="preserve">GPIO R 11</t>
  </si>
  <si>
    <t xml:space="preserve">GPIO R 12</t>
  </si>
  <si>
    <t xml:space="preserve">GPIO R 13</t>
  </si>
  <si>
    <t xml:space="preserve">GPIO R 14</t>
  </si>
  <si>
    <t xml:space="preserve">GPIO R 15</t>
  </si>
  <si>
    <t xml:space="preserve">GPIO R 16</t>
  </si>
  <si>
    <t xml:space="preserve">VBAT 48V</t>
  </si>
  <si>
    <t xml:space="preserve">ROW B</t>
  </si>
  <si>
    <t xml:space="preserve">INDEX1</t>
  </si>
  <si>
    <t xml:space="preserve">INDEX2</t>
  </si>
  <si>
    <t xml:space="preserve">Strobe 1 H</t>
  </si>
  <si>
    <t xml:space="preserve">Strobe 1 L</t>
  </si>
  <si>
    <t xml:space="preserve">Strobe 2 H</t>
  </si>
  <si>
    <t xml:space="preserve">ROW C</t>
  </si>
  <si>
    <t xml:space="preserve">USB D-</t>
  </si>
  <si>
    <t xml:space="preserve">GPIO L 1</t>
  </si>
  <si>
    <t xml:space="preserve">GPIO L 2</t>
  </si>
  <si>
    <t xml:space="preserve">GPIO L 3</t>
  </si>
  <si>
    <t xml:space="preserve">GPIO L 4</t>
  </si>
  <si>
    <t xml:space="preserve">GPIO L 5</t>
  </si>
  <si>
    <t xml:space="preserve">GPIO L 6</t>
  </si>
  <si>
    <t xml:space="preserve">GPIO L 7</t>
  </si>
  <si>
    <t xml:space="preserve">GPIO L 8</t>
  </si>
  <si>
    <t xml:space="preserve">GPIO L 9</t>
  </si>
  <si>
    <t xml:space="preserve">GPIO L 10</t>
  </si>
  <si>
    <t xml:space="preserve">GPIO L 11</t>
  </si>
  <si>
    <t xml:space="preserve">GPIO L 12</t>
  </si>
  <si>
    <t xml:space="preserve">GPIO L 13</t>
  </si>
  <si>
    <t xml:space="preserve">GPIO L 14</t>
  </si>
  <si>
    <t xml:space="preserve">GPIO L 15</t>
  </si>
  <si>
    <t xml:space="preserve">GPIO L 16</t>
  </si>
  <si>
    <t xml:space="preserve">Standard current per pin for DIN41612 is</t>
  </si>
  <si>
    <t xml:space="preserve">Reduced current per pin for DIN41612 is</t>
  </si>
  <si>
    <t xml:space="preserve">Safety margin</t>
  </si>
  <si>
    <t xml:space="preserve">A</t>
  </si>
  <si>
    <t xml:space="preserve">c</t>
  </si>
  <si>
    <t xml:space="preserve">x</t>
  </si>
  <si>
    <t xml:space="preserve">PIN STATISTICS</t>
  </si>
  <si>
    <t xml:space="preserve">25c</t>
  </si>
  <si>
    <t xml:space="preserve">60c</t>
  </si>
  <si>
    <t xml:space="preserve">unit</t>
  </si>
  <si>
    <t xml:space="preserve">6 module rack</t>
  </si>
  <si>
    <t xml:space="preserve">12V stdby</t>
  </si>
  <si>
    <t xml:space="preserve">PIN</t>
  </si>
  <si>
    <t xml:space="preserve">12V PSU OUTPUT</t>
  </si>
  <si>
    <t xml:space="preserve">W</t>
  </si>
  <si>
    <t xml:space="preserve">48V PSU  OUTPUT</t>
  </si>
  <si>
    <t xml:space="preserve">GND BALANCE</t>
  </si>
  <si>
    <t xml:space="preserve">INFO:</t>
  </si>
  <si>
    <t xml:space="preserve">GREEN</t>
  </si>
  <si>
    <t xml:space="preserve">ADD POWER</t>
  </si>
  <si>
    <t xml:space="preserve">WHITE </t>
  </si>
  <si>
    <t xml:space="preserve">GOOD</t>
  </si>
  <si>
    <t xml:space="preserve">RED</t>
  </si>
  <si>
    <t xml:space="preserve">ADD GND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</si>
</sst>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</font>
    <font>
      <sz val="11"/>
      <color theme="2"/>
      <name val="Aptos Narrow"/>
      <family val="2"/>
      <charset val="1"/>
    </font>
    <font>
      <sz val="11"/>
      <color theme="1" tint="0.0499"/>
      <name val="Aptos Narrow"/>
      <family val="2"/>
      <charset val="1"/>
    </font>
    <font>
      <sz val="11"/>
      <color rgb="FF000000"/>
      <name val="Aptos Narrow"/>
      <family val="2"/>
      <charset val="1"/>
    </font>
    <font>
      <sz val="11"/>
      <color theme="0"/>
      <name val="Aptos Narrow"/>
      <family val="2"/>
      <charset val="1"/>
    </font>
    <font>
      <sz val="11"/>
      <color rgb="FF9C0006"/>
      <name val="Aptos Narrow"/>
      <family val="2"/>
      <charset val="1"/>
    </font>
    <font>
      <sz val="11"/>
      <color rgb="FF9C5700"/>
      <name val="Aptos Narrow"/>
      <family val="2"/>
      <charset val="1"/>
    </font>
    <font>
      <sz val="11"/>
      <color rgb="FF006100"/>
      <name val="Aptos Narrow"/>
      <family val="2"/>
      <charset val="1"/>
    </font>
  </fonts>
  <fills count="23">
    <fill>
      <patternFill patternType="none"/>
    </fill>
    <fill>
      <patternFill patternType="gray125"/>
    </fill>
    <fill>
      <patternFill patternType="solid">
        <fgColor theme="4" tint="0.3999"/>
        <bgColor rgb="FF61CBF4"/>
      </patternFill>
    </fill>
    <fill>
      <patternFill patternType="solid">
        <fgColor theme="6" tint="0.5999"/>
        <bgColor rgb="FF8ED973"/>
      </patternFill>
    </fill>
    <fill>
      <patternFill patternType="solid">
        <fgColor theme="5" tint="0.3999"/>
        <bgColor rgb="FFF6C6AD"/>
      </patternFill>
    </fill>
    <fill>
      <patternFill patternType="solid">
        <fgColor theme="6" tint="0.3999"/>
        <bgColor rgb="FF84E291"/>
      </patternFill>
    </fill>
    <fill>
      <patternFill patternType="solid">
        <fgColor theme="7" tint="0.3999"/>
        <bgColor rgb="FF46B1E1"/>
      </patternFill>
    </fill>
    <fill>
      <patternFill patternType="solid">
        <fgColor theme="8"/>
        <bgColor rgb="FF800080"/>
      </patternFill>
    </fill>
    <fill>
      <patternFill patternType="solid">
        <fgColor rgb="FFFFC7CE"/>
        <bgColor rgb="FFF6C6AD"/>
      </patternFill>
    </fill>
    <fill>
      <patternFill patternType="solid">
        <fgColor rgb="FFFFEB9C"/>
        <bgColor rgb="FFFBE3D6"/>
      </patternFill>
    </fill>
    <fill>
      <patternFill patternType="solid">
        <fgColor rgb="FFC6EFCE"/>
        <bgColor rgb="FFE8E8E8"/>
      </patternFill>
    </fill>
    <fill>
      <patternFill patternType="solid">
        <fgColor theme="0" tint="-0.25"/>
        <bgColor rgb="FFA6CAEC"/>
      </patternFill>
    </fill>
    <fill>
      <patternFill patternType="solid">
        <fgColor rgb="FF0000CC"/>
        <bgColor rgb="FF0000FF"/>
      </patternFill>
    </fill>
    <fill>
      <patternFill patternType="solid">
        <fgColor theme="3" tint="0.7499"/>
        <bgColor rgb="FFBFBFBF"/>
      </patternFill>
    </fill>
    <fill>
      <patternFill patternType="solid">
        <fgColor theme="5" tint="0.7999"/>
        <bgColor rgb="FFE8E8E8"/>
      </patternFill>
    </fill>
    <fill>
      <patternFill patternType="solid">
        <fgColor rgb="FFFFFF00"/>
        <bgColor rgb="FFFFFF00"/>
      </patternFill>
    </fill>
    <fill>
      <patternFill patternType="solid">
        <fgColor rgb="FFFF8000"/>
        <bgColor rgb="FFFF6600"/>
      </patternFill>
    </fill>
    <fill>
      <patternFill patternType="solid">
        <fgColor rgb="FFC9211E"/>
        <bgColor rgb="FF9C0006"/>
      </patternFill>
    </fill>
    <fill>
      <patternFill patternType="solid">
        <fgColor rgb="FFFFD428"/>
        <bgColor rgb="FFFFFF00"/>
      </patternFill>
    </fill>
    <fill>
      <patternFill patternType="solid">
        <fgColor rgb="FF00B0F0"/>
        <bgColor rgb="FF46B1E1"/>
      </patternFill>
    </fill>
    <fill>
      <patternFill patternType="solid">
        <fgColor theme="5" tint="0.5999"/>
        <bgColor rgb="FFFFC7CE"/>
      </patternFill>
    </fill>
    <fill>
      <patternFill patternType="solid">
        <fgColor rgb="FFFF0000"/>
        <bgColor rgb="FFC9211E"/>
      </patternFill>
    </fill>
    <fill>
      <patternFill patternType="solid">
        <fgColor theme="9" tint="0.3999"/>
        <bgColor rgb="FF84E291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</borders>
  <cellStyleXfs count="2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9" fillId="8" borderId="0" applyFont="true" applyBorder="false" applyAlignment="true" applyProtection="false">
      <alignment horizontal="general" vertical="bottom" textRotation="0" wrapText="false" indent="0" shrinkToFit="false"/>
    </xf>
    <xf numFmtId="164" fontId="10" fillId="9" borderId="0" applyFont="true" applyBorder="false" applyAlignment="true" applyProtection="false">
      <alignment horizontal="general" vertical="bottom" textRotation="0" wrapText="false" indent="0" shrinkToFit="false"/>
    </xf>
    <xf numFmtId="164" fontId="11" fillId="10" borderId="0" applyFont="true" applyBorder="false" applyAlignment="true" applyProtection="false">
      <alignment horizontal="general" vertical="bottom" textRotation="0" wrapText="false" indent="0" shrinkToFit="false"/>
    </xf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8" borderId="2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1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2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3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1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1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1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10" borderId="1" xfId="2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2" borderId="2" xfId="2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2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8" borderId="1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1" borderId="2" xfId="26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60% - Accent1" xfId="20"/>
    <cellStyle name="Excel Built-in 40% - Accent3" xfId="21"/>
    <cellStyle name="Excel Built-in 60% - Accent2" xfId="22"/>
    <cellStyle name="Excel Built-in 60% - Accent3" xfId="23"/>
    <cellStyle name="Excel Built-in 60% - Accent4" xfId="24"/>
    <cellStyle name="Excel Built-in Accent5" xfId="25"/>
    <cellStyle name="Excel Built-in Bad" xfId="26"/>
    <cellStyle name="Excel Built-in Neutral" xfId="27"/>
    <cellStyle name="Excel Built-in Good" xfId="28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61CBF4"/>
      <rgbColor rgb="FFA02B93"/>
      <rgbColor rgb="FFFBE3D6"/>
      <rgbColor rgb="FFE8E8E8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84E291"/>
      <rgbColor rgb="FFC6EFCE"/>
      <rgbColor rgb="FFFFEB9C"/>
      <rgbColor rgb="FFA6CAEC"/>
      <rgbColor rgb="FFF2AA84"/>
      <rgbColor rgb="FFCC99FF"/>
      <rgbColor rgb="FFF6C6AD"/>
      <rgbColor rgb="FF3366FF"/>
      <rgbColor rgb="FF46B1E1"/>
      <rgbColor rgb="FF8ED973"/>
      <rgbColor rgb="FFFFD428"/>
      <rgbColor rgb="FFFF8000"/>
      <rgbColor rgb="FFFF6600"/>
      <rgbColor rgb="FF666699"/>
      <rgbColor rgb="FF969696"/>
      <rgbColor rgb="FF003366"/>
      <rgbColor rgb="FF47D45A"/>
      <rgbColor rgb="FF0D0D0D"/>
      <rgbColor rgb="FF333300"/>
      <rgbColor rgb="FF9C5700"/>
      <rgbColor rgb="FFC9211E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R25" activeCellId="0" sqref="R2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6.47"/>
    <col collapsed="false" customWidth="true" hidden="false" outlineLevel="0" max="4" min="4" style="1" width="12.25"/>
    <col collapsed="false" customWidth="true" hidden="false" outlineLevel="0" max="5" min="5" style="1" width="11.48"/>
    <col collapsed="false" customWidth="true" hidden="false" outlineLevel="0" max="6" min="6" style="1" width="11.74"/>
    <col collapsed="false" customWidth="true" hidden="false" outlineLevel="0" max="7" min="7" style="1" width="10.26"/>
    <col collapsed="false" customWidth="true" hidden="false" outlineLevel="0" max="8" min="8" style="1" width="11.33"/>
    <col collapsed="false" customWidth="true" hidden="false" outlineLevel="0" max="17" min="17" style="1" width="10.88"/>
    <col collapsed="false" customWidth="true" hidden="false" outlineLevel="0" max="18" min="18" style="1" width="10.41"/>
    <col collapsed="false" customWidth="true" hidden="false" outlineLevel="0" max="19" min="19" style="1" width="9.65"/>
    <col collapsed="false" customWidth="true" hidden="false" outlineLevel="0" max="20" min="20" style="1" width="9.34"/>
    <col collapsed="false" customWidth="true" hidden="false" outlineLevel="0" max="21" min="21" style="1" width="9.95"/>
    <col collapsed="false" customWidth="true" hidden="false" outlineLevel="0" max="22" min="22" style="1" width="10.56"/>
    <col collapsed="false" customWidth="true" hidden="false" outlineLevel="0" max="23" min="23" style="1" width="9.34"/>
    <col collapsed="false" customWidth="true" hidden="false" outlineLevel="0" max="24" min="24" style="1" width="10.67"/>
  </cols>
  <sheetData>
    <row r="1" customFormat="false" ht="16.4" hidden="false" customHeight="false" outlineLevel="0" collapsed="false">
      <c r="A1" s="1" t="s">
        <v>0</v>
      </c>
      <c r="B1" s="1"/>
    </row>
    <row r="2" customFormat="false" ht="15" hidden="false" customHeight="false" outlineLevel="0" collapsed="false">
      <c r="A2" s="2"/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9</v>
      </c>
      <c r="K2" s="2" t="n">
        <v>10</v>
      </c>
      <c r="L2" s="2" t="n">
        <v>11</v>
      </c>
      <c r="M2" s="2" t="n">
        <v>12</v>
      </c>
      <c r="N2" s="2" t="n">
        <v>13</v>
      </c>
      <c r="O2" s="2" t="n">
        <v>14</v>
      </c>
      <c r="P2" s="2" t="n">
        <v>15</v>
      </c>
      <c r="Q2" s="2" t="n">
        <v>16</v>
      </c>
      <c r="R2" s="2" t="n">
        <v>17</v>
      </c>
      <c r="S2" s="2" t="n">
        <v>18</v>
      </c>
      <c r="T2" s="2" t="n">
        <v>19</v>
      </c>
      <c r="U2" s="2" t="n">
        <v>20</v>
      </c>
      <c r="V2" s="2" t="n">
        <v>21</v>
      </c>
      <c r="W2" s="2" t="n">
        <v>22</v>
      </c>
      <c r="X2" s="2" t="n">
        <v>23</v>
      </c>
      <c r="Y2" s="2" t="n">
        <v>24</v>
      </c>
      <c r="Z2" s="2" t="n">
        <v>25</v>
      </c>
      <c r="AA2" s="2" t="n">
        <v>26</v>
      </c>
      <c r="AB2" s="2" t="n">
        <v>27</v>
      </c>
      <c r="AC2" s="2" t="n">
        <v>28</v>
      </c>
      <c r="AD2" s="2" t="n">
        <v>29</v>
      </c>
      <c r="AE2" s="2" t="n">
        <v>30</v>
      </c>
      <c r="AF2" s="2" t="n">
        <v>31</v>
      </c>
      <c r="AG2" s="2" t="n">
        <v>32</v>
      </c>
    </row>
    <row r="3" customFormat="false" ht="15" hidden="false" customHeight="false" outlineLevel="0" collapsed="false">
      <c r="A3" s="3" t="s">
        <v>1</v>
      </c>
      <c r="B3" s="4" t="s">
        <v>2</v>
      </c>
      <c r="C3" s="5" t="s">
        <v>3</v>
      </c>
      <c r="D3" s="6" t="s">
        <v>4</v>
      </c>
      <c r="E3" s="6" t="s">
        <v>5</v>
      </c>
      <c r="F3" s="7" t="s">
        <v>6</v>
      </c>
      <c r="G3" s="7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8" t="s">
        <v>16</v>
      </c>
      <c r="Q3" s="8" t="s">
        <v>17</v>
      </c>
      <c r="R3" s="8" t="s">
        <v>18</v>
      </c>
      <c r="S3" s="8" t="s">
        <v>19</v>
      </c>
      <c r="T3" s="8" t="s">
        <v>20</v>
      </c>
      <c r="U3" s="8" t="s">
        <v>21</v>
      </c>
      <c r="V3" s="8" t="s">
        <v>22</v>
      </c>
      <c r="W3" s="8" t="s">
        <v>23</v>
      </c>
      <c r="X3" s="4" t="s">
        <v>2</v>
      </c>
      <c r="Y3" s="9" t="s">
        <v>24</v>
      </c>
      <c r="Z3" s="9" t="s">
        <v>24</v>
      </c>
      <c r="AA3" s="9" t="s">
        <v>24</v>
      </c>
      <c r="AB3" s="9" t="s">
        <v>24</v>
      </c>
      <c r="AC3" s="9" t="s">
        <v>24</v>
      </c>
      <c r="AD3" s="9" t="s">
        <v>24</v>
      </c>
      <c r="AE3" s="9" t="s">
        <v>24</v>
      </c>
      <c r="AF3" s="9" t="s">
        <v>24</v>
      </c>
      <c r="AG3" s="4" t="s">
        <v>2</v>
      </c>
    </row>
    <row r="4" customFormat="false" ht="15" hidden="false" customHeight="false" outlineLevel="0" collapsed="false">
      <c r="A4" s="10" t="s">
        <v>25</v>
      </c>
      <c r="B4" s="11" t="s">
        <v>26</v>
      </c>
      <c r="C4" s="12" t="s">
        <v>27</v>
      </c>
      <c r="D4" s="13" t="s">
        <v>28</v>
      </c>
      <c r="E4" s="13" t="s">
        <v>29</v>
      </c>
      <c r="F4" s="13" t="s">
        <v>30</v>
      </c>
      <c r="G4" s="13" t="s">
        <v>29</v>
      </c>
      <c r="H4" s="4" t="s">
        <v>2</v>
      </c>
      <c r="I4" s="4" t="s">
        <v>2</v>
      </c>
      <c r="J4" s="4" t="s">
        <v>2</v>
      </c>
      <c r="K4" s="4" t="s">
        <v>2</v>
      </c>
      <c r="L4" s="4" t="s">
        <v>2</v>
      </c>
      <c r="M4" s="4" t="s">
        <v>2</v>
      </c>
      <c r="N4" s="4" t="s">
        <v>2</v>
      </c>
      <c r="O4" s="4" t="s">
        <v>2</v>
      </c>
      <c r="P4" s="4" t="s">
        <v>2</v>
      </c>
      <c r="Q4" s="4" t="s">
        <v>2</v>
      </c>
      <c r="R4" s="4" t="s">
        <v>2</v>
      </c>
      <c r="S4" s="4" t="s">
        <v>2</v>
      </c>
      <c r="T4" s="4" t="s">
        <v>2</v>
      </c>
      <c r="U4" s="4" t="s">
        <v>2</v>
      </c>
      <c r="V4" s="4" t="s">
        <v>2</v>
      </c>
      <c r="W4" s="4" t="s">
        <v>2</v>
      </c>
      <c r="X4" s="4" t="s">
        <v>2</v>
      </c>
      <c r="Y4" s="9" t="s">
        <v>24</v>
      </c>
      <c r="Z4" s="9" t="s">
        <v>24</v>
      </c>
      <c r="AA4" s="9" t="s">
        <v>24</v>
      </c>
      <c r="AB4" s="9" t="s">
        <v>24</v>
      </c>
      <c r="AC4" s="9" t="s">
        <v>24</v>
      </c>
      <c r="AD4" s="9" t="s">
        <v>24</v>
      </c>
      <c r="AE4" s="9" t="s">
        <v>24</v>
      </c>
      <c r="AF4" s="9" t="s">
        <v>24</v>
      </c>
      <c r="AG4" s="4" t="s">
        <v>2</v>
      </c>
    </row>
    <row r="5" customFormat="false" ht="15" hidden="false" customHeight="false" outlineLevel="0" collapsed="false">
      <c r="A5" s="14" t="s">
        <v>31</v>
      </c>
      <c r="B5" s="4" t="s">
        <v>2</v>
      </c>
      <c r="C5" s="15" t="s">
        <v>32</v>
      </c>
      <c r="D5" s="6" t="s">
        <v>4</v>
      </c>
      <c r="E5" s="6" t="s">
        <v>5</v>
      </c>
      <c r="F5" s="7" t="s">
        <v>6</v>
      </c>
      <c r="G5" s="7" t="s">
        <v>7</v>
      </c>
      <c r="H5" s="16" t="s">
        <v>33</v>
      </c>
      <c r="I5" s="16" t="s">
        <v>34</v>
      </c>
      <c r="J5" s="16" t="s">
        <v>35</v>
      </c>
      <c r="K5" s="16" t="s">
        <v>36</v>
      </c>
      <c r="L5" s="16" t="s">
        <v>37</v>
      </c>
      <c r="M5" s="16" t="s">
        <v>38</v>
      </c>
      <c r="N5" s="16" t="s">
        <v>39</v>
      </c>
      <c r="O5" s="16" t="s">
        <v>40</v>
      </c>
      <c r="P5" s="16" t="s">
        <v>41</v>
      </c>
      <c r="Q5" s="16" t="s">
        <v>42</v>
      </c>
      <c r="R5" s="16" t="s">
        <v>43</v>
      </c>
      <c r="S5" s="16" t="s">
        <v>44</v>
      </c>
      <c r="T5" s="16" t="s">
        <v>45</v>
      </c>
      <c r="U5" s="16" t="s">
        <v>46</v>
      </c>
      <c r="V5" s="16" t="s">
        <v>47</v>
      </c>
      <c r="W5" s="16" t="s">
        <v>48</v>
      </c>
      <c r="X5" s="4" t="s">
        <v>2</v>
      </c>
      <c r="Y5" s="9" t="s">
        <v>24</v>
      </c>
      <c r="Z5" s="9" t="s">
        <v>24</v>
      </c>
      <c r="AA5" s="9" t="s">
        <v>24</v>
      </c>
      <c r="AB5" s="9" t="s">
        <v>24</v>
      </c>
      <c r="AC5" s="9" t="s">
        <v>24</v>
      </c>
      <c r="AD5" s="9" t="s">
        <v>24</v>
      </c>
      <c r="AE5" s="9" t="s">
        <v>24</v>
      </c>
      <c r="AF5" s="9" t="s">
        <v>24</v>
      </c>
      <c r="AG5" s="4" t="s">
        <v>2</v>
      </c>
    </row>
    <row r="8" customFormat="false" ht="14.25" hidden="false" customHeight="true" outlineLevel="0" collapsed="false">
      <c r="A8" s="17" t="s">
        <v>49</v>
      </c>
      <c r="B8" s="17"/>
      <c r="C8" s="17"/>
      <c r="D8" s="17"/>
      <c r="E8" s="17" t="s">
        <v>50</v>
      </c>
      <c r="F8" s="17"/>
      <c r="G8" s="17"/>
      <c r="H8" s="17"/>
      <c r="J8" s="15" t="s">
        <v>51</v>
      </c>
      <c r="K8" s="15"/>
    </row>
    <row r="9" customFormat="false" ht="15" hidden="false" customHeight="false" outlineLevel="0" collapsed="false">
      <c r="A9" s="18" t="n">
        <v>2</v>
      </c>
      <c r="B9" s="19" t="s">
        <v>52</v>
      </c>
      <c r="C9" s="20" t="n">
        <v>25</v>
      </c>
      <c r="D9" s="21" t="s">
        <v>53</v>
      </c>
      <c r="E9" s="18" t="n">
        <v>1</v>
      </c>
      <c r="F9" s="19" t="s">
        <v>52</v>
      </c>
      <c r="G9" s="20" t="n">
        <v>70</v>
      </c>
      <c r="H9" s="21" t="s">
        <v>53</v>
      </c>
      <c r="J9" s="22" t="n">
        <v>3</v>
      </c>
      <c r="K9" s="22" t="s">
        <v>54</v>
      </c>
    </row>
    <row r="10" customFormat="false" ht="15" hidden="false" customHeight="false" outlineLevel="0" collapsed="false">
      <c r="G10" s="23"/>
      <c r="H10" s="23"/>
    </row>
    <row r="11" customFormat="false" ht="15" hidden="false" customHeight="false" outlineLevel="0" collapsed="false">
      <c r="A11" s="24" t="s">
        <v>55</v>
      </c>
      <c r="B11" s="25"/>
      <c r="C11" s="25"/>
      <c r="D11" s="25"/>
      <c r="E11" s="26"/>
      <c r="I11" s="27" t="s">
        <v>56</v>
      </c>
      <c r="J11" s="28" t="s">
        <v>57</v>
      </c>
      <c r="K11" s="29" t="s">
        <v>58</v>
      </c>
      <c r="M11" s="30" t="s">
        <v>59</v>
      </c>
      <c r="N11" s="30"/>
    </row>
    <row r="12" customFormat="false" ht="15" hidden="false" customHeight="false" outlineLevel="0" collapsed="false">
      <c r="A12" s="31" t="s">
        <v>60</v>
      </c>
      <c r="B12" s="32"/>
      <c r="C12" s="33"/>
      <c r="D12" s="34" t="n">
        <f aca="false">COUNTIF(A3:AG5, "12V")</f>
        <v>0</v>
      </c>
      <c r="E12" s="35" t="s">
        <v>61</v>
      </c>
      <c r="G12" s="36" t="s">
        <v>62</v>
      </c>
      <c r="H12" s="37"/>
      <c r="I12" s="34" t="n">
        <f aca="false">(((D12*A9)/J9) * 12)</f>
        <v>0</v>
      </c>
      <c r="J12" s="38" t="n">
        <f aca="false">(((D12*E9)/J9) * 12)</f>
        <v>0</v>
      </c>
      <c r="K12" s="39" t="s">
        <v>63</v>
      </c>
    </row>
    <row r="13" customFormat="false" ht="15" hidden="false" customHeight="false" outlineLevel="0" collapsed="false">
      <c r="A13" s="40" t="s">
        <v>2</v>
      </c>
      <c r="B13" s="41"/>
      <c r="C13" s="42"/>
      <c r="D13" s="43" t="n">
        <f aca="false">COUNTIF(A3:AG5, "GND")</f>
        <v>24</v>
      </c>
      <c r="E13" s="35" t="s">
        <v>61</v>
      </c>
      <c r="G13" s="44" t="s">
        <v>64</v>
      </c>
      <c r="H13" s="45"/>
      <c r="I13" s="43" t="n">
        <f aca="false">(((D14*A9)/J9) * 48)</f>
        <v>768</v>
      </c>
      <c r="J13" s="46" t="n">
        <f aca="false">(((D14*E9)/J9) * 12)</f>
        <v>96</v>
      </c>
      <c r="K13" s="47" t="s">
        <v>63</v>
      </c>
    </row>
    <row r="14" customFormat="false" ht="15" hidden="false" customHeight="false" outlineLevel="0" collapsed="false">
      <c r="A14" s="48" t="s">
        <v>24</v>
      </c>
      <c r="B14" s="49"/>
      <c r="C14" s="50"/>
      <c r="D14" s="43" t="n">
        <f aca="false">COUNTIF(A3:AG5, "VBAT 48V")</f>
        <v>24</v>
      </c>
      <c r="E14" s="35" t="s">
        <v>61</v>
      </c>
      <c r="G14" s="51"/>
      <c r="H14" s="51"/>
    </row>
    <row r="16" customFormat="false" ht="15.75" hidden="false" customHeight="false" outlineLevel="0" collapsed="false">
      <c r="A16" s="18" t="s">
        <v>65</v>
      </c>
      <c r="B16" s="20"/>
      <c r="C16" s="21"/>
      <c r="D16" s="52" t="n">
        <f aca="false">D13-(D12+D14)</f>
        <v>0</v>
      </c>
    </row>
    <row r="17" customFormat="false" ht="15" hidden="false" customHeight="false" outlineLevel="0" collapsed="false">
      <c r="A17" s="53" t="s">
        <v>66</v>
      </c>
      <c r="B17" s="23"/>
      <c r="C17" s="23"/>
      <c r="D17" s="54"/>
      <c r="H17" s="23"/>
    </row>
    <row r="18" customFormat="false" ht="15" hidden="false" customHeight="false" outlineLevel="0" collapsed="false">
      <c r="A18" s="55" t="s">
        <v>67</v>
      </c>
      <c r="B18" s="56"/>
      <c r="C18" s="57" t="s">
        <v>68</v>
      </c>
      <c r="D18" s="58"/>
    </row>
    <row r="19" customFormat="false" ht="15" hidden="false" customHeight="false" outlineLevel="0" collapsed="false">
      <c r="A19" s="18" t="s">
        <v>69</v>
      </c>
      <c r="B19" s="18"/>
      <c r="C19" s="20" t="s">
        <v>70</v>
      </c>
      <c r="D19" s="21"/>
    </row>
    <row r="20" customFormat="false" ht="15" hidden="false" customHeight="false" outlineLevel="0" collapsed="false">
      <c r="A20" s="59" t="s">
        <v>71</v>
      </c>
      <c r="B20" s="36"/>
      <c r="C20" s="60" t="s">
        <v>72</v>
      </c>
      <c r="D20" s="37"/>
    </row>
  </sheetData>
  <conditionalFormatting sqref="D16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2026-01-17T13:24:57Z</dcterms:created>
  <dc:creator>Artem Horiunov (263663)</dc:creator>
  <dc:description/>
  <dc:language>en-GB</dc:language>
  <cp:lastModifiedBy/>
  <dcterms:modified xsi:type="dcterms:W3CDTF">2026-07-19T16:02:06Z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